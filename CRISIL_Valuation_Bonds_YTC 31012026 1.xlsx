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rade and Settlement\2012-13\COMPLIANCE REPORT\Monthly Reports\Factsheets\2025-2026\Jan 26\Fortnightly\31.01\"/>
    </mc:Choice>
  </mc:AlternateContent>
  <xr:revisionPtr revIDLastSave="0" documentId="13_ncr:1_{4231B78A-F39B-4077-9CE8-9573C1C94D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nds" sheetId="1" r:id="rId1"/>
    <sheet name="Sheet1" sheetId="2" r:id="rId2"/>
  </sheets>
  <externalReferences>
    <externalReference r:id="rId3"/>
  </externalReferences>
  <definedNames>
    <definedName name="_xlnm._FilterDatabase" localSheetId="0" hidden="1">Bonds!$A$6:$F$6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H7" i="1"/>
  <c r="G7" i="1"/>
</calcChain>
</file>

<file path=xl/sharedStrings.xml><?xml version="1.0" encoding="utf-8"?>
<sst xmlns="http://schemas.openxmlformats.org/spreadsheetml/2006/main" count="56" uniqueCount="56">
  <si>
    <t>Valuation Date:</t>
  </si>
  <si>
    <t>ISIN</t>
  </si>
  <si>
    <t>Security Name</t>
  </si>
  <si>
    <t>Call Date</t>
  </si>
  <si>
    <t>Crisil's Bond YTC</t>
  </si>
  <si>
    <t>Bank of Baroda 07.75% ( Basel III Tier II Series XXII) 11-Sep-2034 C 11-Sep-2029</t>
  </si>
  <si>
    <t>Bank of Baroda 07.84% (Series XXIV) 15-Jan-2035 C 15-Jan-2030</t>
  </si>
  <si>
    <t>SBI 06.80% (Series I Basel III Tier II) 21-Aug-2035 C 21-Aug-2030</t>
  </si>
  <si>
    <t>BOI 07.14% (Basel  III Tier II Series XV)  30-Sep-2031 C 30-Sep-2026</t>
  </si>
  <si>
    <t>PNB 07.10% ( Series XXIV) 18-Nov-2031  C 18-Nov-2026</t>
  </si>
  <si>
    <t>Federal Bank 08.20% (Series II Basel III Tier II) 20-Jan-2032 C 20-Jan-2027</t>
  </si>
  <si>
    <t>INE028A08166</t>
  </si>
  <si>
    <t>INE028A08208</t>
  </si>
  <si>
    <t>INE062A08231</t>
  </si>
  <si>
    <t>INE084A08151</t>
  </si>
  <si>
    <t>INE160A08191</t>
  </si>
  <si>
    <t>INE171A08032</t>
  </si>
  <si>
    <t>Dec</t>
  </si>
  <si>
    <t>Feb</t>
  </si>
  <si>
    <t>Nov</t>
  </si>
  <si>
    <t>Oct</t>
  </si>
  <si>
    <t>Sep</t>
  </si>
  <si>
    <t>Jan</t>
  </si>
  <si>
    <t>Jul</t>
  </si>
  <si>
    <t>Mar</t>
  </si>
  <si>
    <t>Jun</t>
  </si>
  <si>
    <t>Aug</t>
  </si>
  <si>
    <t>Union Bank 07.80% (Tier II Basel III Series  XXXVI-B) 29-Nov-2032 C 29-Nov-2027</t>
  </si>
  <si>
    <t>INE692A08201</t>
  </si>
  <si>
    <t>INE160A08241</t>
  </si>
  <si>
    <t>INE692A08219</t>
  </si>
  <si>
    <t>PNB 07.89% ( Series XXV) 01-Dec-2037  C 01-Dec-2032</t>
  </si>
  <si>
    <t>Union Bank 07.85% (Tier II Basel III Series XXXVI-A) 27-Nov-2037 C29-Nov-2032</t>
  </si>
  <si>
    <t>INE062A08405</t>
  </si>
  <si>
    <t>SBI 07.81%  (Series T2 2023 I Basel III Tier 2) 02-Nov-2038 C 02-Nov-2023</t>
  </si>
  <si>
    <t>INE028A08315</t>
  </si>
  <si>
    <t>Bank of Baroda 07.75%  (Basel III Compliant Tier II Series XXV) 21-Dec-2033 C 21-Dec-2028</t>
  </si>
  <si>
    <t>INE028A08331</t>
  </si>
  <si>
    <t>Bank of Baroda 07.57% (Basel III Compliant Tier II Series XXVI) 22-Feb-2034 C 22-Feb-2029</t>
  </si>
  <si>
    <t>State Bank of India 7.42% Basel 3 Tier 2 (SBI 2024 T2 Bonds Series 1) Taxable 29-Aug-2039</t>
  </si>
  <si>
    <t>INE062A08447</t>
  </si>
  <si>
    <t>INE062A08454</t>
  </si>
  <si>
    <t>State Bank of India 7.33% Basel 3 Tier 2 (SBI 2024 T2 Bonds Series 2) Taxable 20-Sep-2034</t>
  </si>
  <si>
    <t>Bank of Baroda 7.41% Basel 3 Tier 2 (Series XXVII) Taxable 28-Nov-2039</t>
  </si>
  <si>
    <t>INE028A08364</t>
  </si>
  <si>
    <t>INE160A08316</t>
  </si>
  <si>
    <t>Punjab National Bank 7.43% Basel 3 Tier 2 (Series XXVII) Taxable 23-Dec-2039</t>
  </si>
  <si>
    <t>ICICI Bank Ltd. 7.45% Basel 3 Tier 2 Taxable 27-Jun-2040</t>
  </si>
  <si>
    <t>INE090A08UM1</t>
  </si>
  <si>
    <t>S. No.</t>
  </si>
  <si>
    <t xml:space="preserve">State Bank of India 6.93% Basel 3 Tier 2 (Series I) Taxable 19-Oct-2030 </t>
  </si>
  <si>
    <t>INE062A08488</t>
  </si>
  <si>
    <t xml:space="preserve">ICICI Bank Ltd. 7.4% Basel 3 Tier 2 (Series DNV25T2) Taxable 28-Nov-2040 </t>
  </si>
  <si>
    <t>INE090A08UN9</t>
  </si>
  <si>
    <t>ICRA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</si>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</sst>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* #,##0.00_);_(* \(#,##0.00\);_(* &quot;-&quot;??_);_(@_)"/>
    <numFmt numFmtId="166" formatCode="mmmm\ d\,\ yyyy"/>
    <numFmt numFmtId="167" formatCode="0.0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4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.2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4" fontId="3" fillId="0" borderId="0" xfId="0" applyNumberFormat="1" applyFont="1"/>
    <xf numFmtId="0" fontId="6" fillId="0" borderId="0" xfId="0" applyFont="1"/>
    <xf numFmtId="15" fontId="3" fillId="0" borderId="0" xfId="0" applyNumberFormat="1" applyFont="1"/>
    <xf numFmtId="165" fontId="3" fillId="0" borderId="0" xfId="1" applyFont="1"/>
    <xf numFmtId="166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167" fontId="0" fillId="0" borderId="0" xfId="0" applyNumberFormat="1"/>
    <xf numFmtId="0" fontId="3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8" fillId="0" borderId="0" xfId="0" applyNumberFormat="1" applyFont="1"/>
    <xf numFmtId="0" fontId="8" fillId="2" borderId="1" xfId="0" applyFont="1" applyFill="1" applyBorder="1" applyAlignment="1">
      <alignment horizontal="center"/>
    </xf>
    <xf numFmtId="167" fontId="8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1" xfId="0" applyBorder="1"/>
    <xf numFmtId="15" fontId="0" fillId="0" borderId="1" xfId="0" applyNumberFormat="1" applyBorder="1" applyAlignment="1">
      <alignment horizontal="right"/>
    </xf>
    <xf numFmtId="167" fontId="0" fillId="0" borderId="1" xfId="0" applyNumberFormat="1" applyBorder="1"/>
    <xf numFmtId="165" fontId="8" fillId="2" borderId="1" xfId="1" applyFont="1" applyFill="1" applyBorder="1" applyAlignment="1">
      <alignment horizontal="center"/>
    </xf>
    <xf numFmtId="0" fontId="9" fillId="0" borderId="0" xfId="0" applyFont="1" applyAlignment="1" applyProtection="1">
      <alignment vertical="top"/>
      <protection locked="0"/>
    </xf>
    <xf numFmtId="49" fontId="9" fillId="0" borderId="0" xfId="0" applyNumberFormat="1" applyFont="1" applyAlignment="1" applyProtection="1">
      <alignment vertical="top"/>
      <protection locked="0"/>
    </xf>
  </cellXfs>
  <cellStyles count="2">
    <cellStyle name="Comma" xfId="1" builtinId="3"/>
    <cellStyle name="Normal" xfId="0" builtinId="0"/>
  </cellStyles>
  <dxfs count="6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Trade%20and%20Settlement\2012-13\COMPLIANCE%20REPORT\Monthly%20Reports\Factsheets\2025-2026\Jan%2026\Fortnightly\31.01\ICRA_Valuation_Bonds_YTC_31012026.xls" TargetMode="External"/><Relationship Id="rId1" Type="http://schemas.openxmlformats.org/officeDocument/2006/relationships/externalLinkPath" Target="ICRA_Valuation_Bonds_YTC_3101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</sheetNames>
    <sheetDataSet>
      <sheetData sheetId="0">
        <row r="6">
          <cell r="C6" t="str">
            <v>ISIN</v>
          </cell>
          <cell r="D6" t="str">
            <v>Security Name</v>
          </cell>
          <cell r="E6" t="str">
            <v>Call Date</v>
          </cell>
          <cell r="F6" t="str">
            <v>Icra's Bond YTC</v>
          </cell>
        </row>
        <row r="7">
          <cell r="C7" t="str">
            <v>INE084A08151</v>
          </cell>
          <cell r="D7" t="str">
            <v>7.14% Bank of India - Basel III TIER II (Series XV) - (Call 30Sep2026)</v>
          </cell>
          <cell r="E7">
            <v>46295</v>
          </cell>
          <cell r="F7">
            <v>9.5317587137999996E-2</v>
          </cell>
        </row>
        <row r="8">
          <cell r="C8" t="str">
            <v>INE160A08191</v>
          </cell>
          <cell r="D8" t="str">
            <v>7.10% Punjab National Bank (Series XXIV) Basel III TIER 2 - 18NOV2031</v>
          </cell>
          <cell r="E8">
            <v>46344</v>
          </cell>
          <cell r="F8">
            <v>8.1961136970000001E-2</v>
          </cell>
        </row>
        <row r="9">
          <cell r="C9" t="str">
            <v>INE171A08032</v>
          </cell>
          <cell r="D9" t="str">
            <v>Federal Bank 08.20% (Series II Basel III Tier II) 20-Jan-2032 C 20-Jan-2027</v>
          </cell>
          <cell r="E9">
            <v>46407</v>
          </cell>
          <cell r="F9">
            <v>9.4091780245999998E-2</v>
          </cell>
        </row>
        <row r="10">
          <cell r="C10" t="str">
            <v>INE692A08201</v>
          </cell>
          <cell r="D10" t="str">
            <v>7.80% Union Bank of India (Basel III) (Tier 2) Sr XXXVI-B NCD  Call 291127</v>
          </cell>
          <cell r="E10">
            <v>46720</v>
          </cell>
          <cell r="F10">
            <v>8.2743097574999994E-2</v>
          </cell>
        </row>
        <row r="11">
          <cell r="C11" t="str">
            <v>INE028A08315</v>
          </cell>
          <cell r="D11" t="str">
            <v>7.75% Bank of Baroda Basel III Tier II Sr. XXV (Mat 21/12/33) (Call 21/12/28)</v>
          </cell>
          <cell r="E11">
            <v>47108</v>
          </cell>
          <cell r="F11">
            <v>7.9446045684000002E-2</v>
          </cell>
        </row>
        <row r="12">
          <cell r="C12" t="str">
            <v>INE028A08331</v>
          </cell>
          <cell r="D12" t="str">
            <v>07.57% BANK OF BARODA (BASEL III TIER II SERIES XXII) 22/02/2034</v>
          </cell>
          <cell r="E12">
            <v>47171</v>
          </cell>
          <cell r="F12">
            <v>8.1593747433000005E-2</v>
          </cell>
        </row>
        <row r="13">
          <cell r="C13" t="str">
            <v>INE028A08166</v>
          </cell>
          <cell r="D13" t="str">
            <v>Bank of Baroda 07.75% ( Basel III Tier II Series XXII) 11-Sep-2034 C 11-Sep-2029</v>
          </cell>
          <cell r="E13">
            <v>47372</v>
          </cell>
          <cell r="F13">
            <v>8.1050216410000001E-2</v>
          </cell>
        </row>
        <row r="14">
          <cell r="C14" t="str">
            <v>INE028A08208</v>
          </cell>
          <cell r="D14" t="str">
            <v>Bank of Baroda 07.84% (Series XXIV) 15-Jun-2035 C 15-Jan-2030</v>
          </cell>
          <cell r="E14">
            <v>47498</v>
          </cell>
          <cell r="F14">
            <v>8.0610072943999994E-2</v>
          </cell>
        </row>
        <row r="15">
          <cell r="C15" t="str">
            <v>INE062A08231</v>
          </cell>
          <cell r="D15" t="str">
            <v>SBI (Basel III Tier 2 Series I) 6.80% 21-Aug-2035</v>
          </cell>
          <cell r="E15">
            <v>47716</v>
          </cell>
          <cell r="F15">
            <v>7.5104876609000004E-2</v>
          </cell>
        </row>
        <row r="16">
          <cell r="C16" t="str">
            <v>INE062A08488</v>
          </cell>
          <cell r="D16" t="str">
            <v>State Bank Of India Sr 1 Tier 2 6.93% (20/10/35)</v>
          </cell>
          <cell r="E16">
            <v>47775</v>
          </cell>
          <cell r="F16">
            <v>7.4861869070000003E-2</v>
          </cell>
        </row>
        <row r="17">
          <cell r="C17" t="str">
            <v>INE692A08219</v>
          </cell>
          <cell r="D17" t="str">
            <v>07.85% Union Bank (Tier II Basel III Series XXXVI-A) 27-Nov-2037 C 29-Nov-2032</v>
          </cell>
          <cell r="E17">
            <v>48547</v>
          </cell>
          <cell r="F17">
            <v>7.7602067368000002E-2</v>
          </cell>
        </row>
        <row r="18">
          <cell r="C18" t="str">
            <v>INE160A08241</v>
          </cell>
          <cell r="D18" t="str">
            <v>7.89% PNB Bond (Basel III Tier II  Sr XXV) C-01/12/32 01/12/2037(L)</v>
          </cell>
          <cell r="E18">
            <v>48549</v>
          </cell>
          <cell r="F18">
            <v>7.6099258116000004E-2</v>
          </cell>
        </row>
        <row r="19">
          <cell r="C19" t="str">
            <v>INE062A08405</v>
          </cell>
          <cell r="D19" t="str">
            <v>State Bank Of India (Baseiii Tier-2 Sr-I - 2023)7.81% (02/11/2038)</v>
          </cell>
          <cell r="E19">
            <v>48885</v>
          </cell>
          <cell r="F19">
            <v>7.5520376964000005E-2</v>
          </cell>
        </row>
        <row r="20">
          <cell r="C20" t="str">
            <v>INE062A08447</v>
          </cell>
          <cell r="D20" t="str">
            <v>State Bank of India (Sr I) 7.42% Basel III Tier 2 (29/08/2039)</v>
          </cell>
          <cell r="E20">
            <v>49185</v>
          </cell>
          <cell r="F20">
            <v>7.5558113247E-2</v>
          </cell>
        </row>
        <row r="21">
          <cell r="C21" t="str">
            <v>INE062A08454</v>
          </cell>
          <cell r="D21" t="str">
            <v>State Bank of India Basel III Tier 2 (Sr 2) 7.33% (20/09/2039)</v>
          </cell>
          <cell r="E21">
            <v>49207</v>
          </cell>
          <cell r="F21">
            <v>7.5490364512000002E-2</v>
          </cell>
        </row>
        <row r="22">
          <cell r="C22" t="str">
            <v>INE028A08364</v>
          </cell>
          <cell r="D22" t="str">
            <v>Bank of Baroda (Sr XXVII) Basel III Tier II 7.41% (28/11/2039) (Call - 28/11/2034)</v>
          </cell>
          <cell r="E22">
            <v>49276</v>
          </cell>
          <cell r="F22">
            <v>7.5975877331000002E-2</v>
          </cell>
        </row>
        <row r="23">
          <cell r="C23" t="str">
            <v>INE160A08316</v>
          </cell>
          <cell r="D23" t="str">
            <v>Punjab National Bank (Sr XXVII) 7.43% Basel III Tier II (23/12/2039) (Call - 23/12/2034)</v>
          </cell>
          <cell r="E23">
            <v>49301</v>
          </cell>
          <cell r="F23">
            <v>7.5971337678000003E-2</v>
          </cell>
        </row>
        <row r="24">
          <cell r="C24" t="str">
            <v>INE090A08UM1</v>
          </cell>
          <cell r="D24" t="str">
            <v>ICICI Bank Limited (Sr DJU25T2) Basel III Tier 2 7.45% (27/06/2040)</v>
          </cell>
          <cell r="E24">
            <v>49487</v>
          </cell>
          <cell r="F24">
            <v>7.5810926003999995E-2</v>
          </cell>
        </row>
        <row r="25">
          <cell r="C25" t="str">
            <v>INE090A08UN9</v>
          </cell>
          <cell r="D25" t="str">
            <v>ICICI Bank Limited (Sr DNV25T2) 7.40% Basel III Tier 2 (28/11/2040) (Call - 28/11/2035)</v>
          </cell>
          <cell r="E25">
            <v>49641</v>
          </cell>
          <cell r="F25">
            <v>7.6305576580000006E-2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4" zoomScale="80" zoomScaleNormal="80" workbookViewId="0">
      <selection activeCell="G6" sqref="G6"/>
    </sheetView>
  </sheetViews>
  <sheetFormatPr defaultRowHeight="14.5" x14ac:dyDescent="0.35"/>
  <cols>
    <col min="1" max="1" width="20.81640625" style="22" customWidth="1"/>
    <col min="2" max="2" width="16.453125" customWidth="1"/>
    <col min="3" max="3" width="16.453125" bestFit="1" customWidth="1"/>
    <col min="4" max="4" width="101.81640625" customWidth="1"/>
    <col min="5" max="5" width="32.54296875" customWidth="1"/>
    <col min="6" max="6" width="25.1796875" bestFit="1" customWidth="1"/>
  </cols>
  <sheetData>
    <row r="1" spans="1:8" ht="17.5" x14ac:dyDescent="0.35">
      <c r="B1" s="2"/>
      <c r="C1" s="3"/>
      <c r="D1" s="4"/>
      <c r="E1" s="4"/>
      <c r="F1" s="4"/>
    </row>
    <row r="2" spans="1:8" x14ac:dyDescent="0.35">
      <c r="A2" s="23"/>
      <c r="B2" s="1"/>
      <c r="C2" s="6"/>
      <c r="D2" s="7"/>
      <c r="E2" s="7"/>
      <c r="F2" s="7"/>
    </row>
    <row r="3" spans="1:8" ht="17.5" x14ac:dyDescent="0.35">
      <c r="A3" s="23"/>
      <c r="B3" s="1"/>
      <c r="C3" s="6"/>
      <c r="D3" s="7"/>
      <c r="E3" s="9"/>
      <c r="F3" s="10"/>
    </row>
    <row r="4" spans="1:8" ht="20" x14ac:dyDescent="0.4">
      <c r="B4" s="5" t="s">
        <v>0</v>
      </c>
      <c r="C4" s="6"/>
      <c r="D4" s="8">
        <v>46053</v>
      </c>
      <c r="E4" s="12"/>
      <c r="F4" s="10"/>
    </row>
    <row r="5" spans="1:8" x14ac:dyDescent="0.35">
      <c r="A5" s="23"/>
      <c r="B5" s="13"/>
      <c r="C5" s="1"/>
      <c r="D5" s="14"/>
      <c r="E5" s="11"/>
      <c r="F5" s="10"/>
    </row>
    <row r="6" spans="1:8" s="17" customFormat="1" ht="58.5" customHeight="1" x14ac:dyDescent="0.35">
      <c r="A6" s="22"/>
      <c r="B6" s="15" t="s">
        <v>49</v>
      </c>
      <c r="C6" s="16" t="s">
        <v>1</v>
      </c>
      <c r="D6" s="16" t="s">
        <v>2</v>
      </c>
      <c r="E6" s="21" t="s">
        <v>3</v>
      </c>
      <c r="F6" s="16" t="s">
        <v>4</v>
      </c>
      <c r="G6" s="17" t="s">
        <v>54</v>
      </c>
      <c r="H6" s="17" t="s">
        <v>55</v>
      </c>
    </row>
    <row r="7" spans="1:8" ht="15" customHeight="1" x14ac:dyDescent="0.35">
      <c r="B7" s="18">
        <v>1</v>
      </c>
      <c r="C7" s="18" t="s">
        <v>14</v>
      </c>
      <c r="D7" s="18" t="s">
        <v>8</v>
      </c>
      <c r="E7" s="19">
        <v>46295</v>
      </c>
      <c r="F7" s="20">
        <v>7.3386999999999994E-2</v>
      </c>
      <c r="G7" s="20">
        <f>VLOOKUP(C7,[1]Valuation!$C$6:$F$35,4,FALSE)</f>
        <v>9.5317587137999996E-2</v>
      </c>
      <c r="H7" s="20">
        <f>(F7+G7)/2</f>
        <v>8.4352293568999995E-2</v>
      </c>
    </row>
    <row r="8" spans="1:8" ht="15" customHeight="1" x14ac:dyDescent="0.35">
      <c r="B8" s="18">
        <v>2</v>
      </c>
      <c r="C8" s="18" t="s">
        <v>16</v>
      </c>
      <c r="D8" s="18" t="s">
        <v>10</v>
      </c>
      <c r="E8" s="19">
        <v>46407</v>
      </c>
      <c r="F8" s="20">
        <v>8.2486000000000004E-2</v>
      </c>
      <c r="G8" s="20">
        <f>VLOOKUP(C8,[1]Valuation!$C$6:$F$35,4,FALSE)</f>
        <v>9.4091780245999998E-2</v>
      </c>
      <c r="H8" s="20">
        <f t="shared" ref="H8:H25" si="0">(F8+G8)/2</f>
        <v>8.8288890123000008E-2</v>
      </c>
    </row>
    <row r="9" spans="1:8" ht="15" customHeight="1" x14ac:dyDescent="0.35">
      <c r="B9" s="18">
        <v>3</v>
      </c>
      <c r="C9" s="18" t="s">
        <v>11</v>
      </c>
      <c r="D9" s="18" t="s">
        <v>5</v>
      </c>
      <c r="E9" s="19">
        <v>47372</v>
      </c>
      <c r="F9" s="20">
        <v>7.7644000000000005E-2</v>
      </c>
      <c r="G9" s="20">
        <f>VLOOKUP(C9,[1]Valuation!$C$6:$F$35,4,FALSE)</f>
        <v>8.1050216410000001E-2</v>
      </c>
      <c r="H9" s="20">
        <f t="shared" si="0"/>
        <v>7.9347108205000003E-2</v>
      </c>
    </row>
    <row r="10" spans="1:8" ht="15" customHeight="1" x14ac:dyDescent="0.35">
      <c r="B10" s="18">
        <v>4</v>
      </c>
      <c r="C10" s="18" t="s">
        <v>12</v>
      </c>
      <c r="D10" s="18" t="s">
        <v>6</v>
      </c>
      <c r="E10" s="19">
        <v>47498</v>
      </c>
      <c r="F10" s="20">
        <v>7.7530000000000002E-2</v>
      </c>
      <c r="G10" s="20">
        <f>VLOOKUP(C10,[1]Valuation!$C$6:$F$35,4,FALSE)</f>
        <v>8.0610072943999994E-2</v>
      </c>
      <c r="H10" s="20">
        <f t="shared" si="0"/>
        <v>7.9070036472000005E-2</v>
      </c>
    </row>
    <row r="11" spans="1:8" ht="15" customHeight="1" x14ac:dyDescent="0.35">
      <c r="B11" s="18">
        <v>5</v>
      </c>
      <c r="C11" s="18" t="s">
        <v>13</v>
      </c>
      <c r="D11" s="18" t="s">
        <v>7</v>
      </c>
      <c r="E11" s="19">
        <v>47716</v>
      </c>
      <c r="F11" s="20">
        <v>6.9252999999999995E-2</v>
      </c>
      <c r="G11" s="20">
        <f>VLOOKUP(C11,[1]Valuation!$C$6:$F$35,4,FALSE)</f>
        <v>7.5104876609000004E-2</v>
      </c>
      <c r="H11" s="20">
        <f t="shared" si="0"/>
        <v>7.2178938304500007E-2</v>
      </c>
    </row>
    <row r="12" spans="1:8" ht="15" customHeight="1" x14ac:dyDescent="0.35">
      <c r="B12" s="18">
        <v>6</v>
      </c>
      <c r="C12" s="18" t="s">
        <v>15</v>
      </c>
      <c r="D12" s="18" t="s">
        <v>9</v>
      </c>
      <c r="E12" s="19">
        <v>46344</v>
      </c>
      <c r="F12" s="20">
        <v>7.2485999999999995E-2</v>
      </c>
      <c r="G12" s="20">
        <f>VLOOKUP(C12,[1]Valuation!$C$6:$F$35,4,FALSE)</f>
        <v>8.1961136970000001E-2</v>
      </c>
      <c r="H12" s="20">
        <f t="shared" si="0"/>
        <v>7.7223568485000005E-2</v>
      </c>
    </row>
    <row r="13" spans="1:8" ht="15" customHeight="1" x14ac:dyDescent="0.35">
      <c r="B13" s="18">
        <v>7</v>
      </c>
      <c r="C13" s="18" t="s">
        <v>28</v>
      </c>
      <c r="D13" s="18" t="s">
        <v>27</v>
      </c>
      <c r="E13" s="19">
        <v>46720</v>
      </c>
      <c r="F13" s="20">
        <v>7.8815999999999997E-2</v>
      </c>
      <c r="G13" s="20">
        <f>VLOOKUP(C13,[1]Valuation!$C$6:$F$35,4,FALSE)</f>
        <v>8.2743097574999994E-2</v>
      </c>
      <c r="H13" s="20">
        <f t="shared" si="0"/>
        <v>8.0779548787499988E-2</v>
      </c>
    </row>
    <row r="14" spans="1:8" ht="15" customHeight="1" x14ac:dyDescent="0.35">
      <c r="B14" s="18">
        <v>8</v>
      </c>
      <c r="C14" s="18" t="s">
        <v>29</v>
      </c>
      <c r="D14" s="18" t="s">
        <v>31</v>
      </c>
      <c r="E14" s="19">
        <v>48549</v>
      </c>
      <c r="F14" s="20">
        <v>7.6774999999999996E-2</v>
      </c>
      <c r="G14" s="20">
        <f>VLOOKUP(C14,[1]Valuation!$C$6:$F$35,4,FALSE)</f>
        <v>7.6099258116000004E-2</v>
      </c>
      <c r="H14" s="20">
        <f t="shared" si="0"/>
        <v>7.6437129058E-2</v>
      </c>
    </row>
    <row r="15" spans="1:8" ht="15" customHeight="1" x14ac:dyDescent="0.35">
      <c r="B15" s="18">
        <v>9</v>
      </c>
      <c r="C15" s="18" t="s">
        <v>30</v>
      </c>
      <c r="D15" s="18" t="s">
        <v>32</v>
      </c>
      <c r="E15" s="19">
        <v>48547</v>
      </c>
      <c r="F15" s="20">
        <v>7.7588000000000004E-2</v>
      </c>
      <c r="G15" s="20">
        <f>VLOOKUP(C15,[1]Valuation!$C$6:$F$35,4,FALSE)</f>
        <v>7.7602067368000002E-2</v>
      </c>
      <c r="H15" s="20">
        <f t="shared" si="0"/>
        <v>7.7595033684000003E-2</v>
      </c>
    </row>
    <row r="16" spans="1:8" ht="15" customHeight="1" x14ac:dyDescent="0.35">
      <c r="B16" s="18">
        <v>10</v>
      </c>
      <c r="C16" s="18" t="s">
        <v>33</v>
      </c>
      <c r="D16" s="18" t="s">
        <v>34</v>
      </c>
      <c r="E16" s="19">
        <v>48885</v>
      </c>
      <c r="F16" s="20">
        <v>7.4260999999999994E-2</v>
      </c>
      <c r="G16" s="20">
        <f>VLOOKUP(C16,[1]Valuation!$C$6:$F$35,4,FALSE)</f>
        <v>7.5520376964000005E-2</v>
      </c>
      <c r="H16" s="20">
        <f t="shared" si="0"/>
        <v>7.4890688482000006E-2</v>
      </c>
    </row>
    <row r="17" spans="2:8" ht="15" customHeight="1" x14ac:dyDescent="0.35">
      <c r="B17" s="18">
        <v>11</v>
      </c>
      <c r="C17" s="18" t="s">
        <v>35</v>
      </c>
      <c r="D17" s="18" t="s">
        <v>36</v>
      </c>
      <c r="E17" s="19">
        <v>47108</v>
      </c>
      <c r="F17" s="20">
        <v>7.8044000000000002E-2</v>
      </c>
      <c r="G17" s="20">
        <f>VLOOKUP(C17,[1]Valuation!$C$6:$F$35,4,FALSE)</f>
        <v>7.9446045684000002E-2</v>
      </c>
      <c r="H17" s="20">
        <f t="shared" si="0"/>
        <v>7.8745022841999995E-2</v>
      </c>
    </row>
    <row r="18" spans="2:8" ht="15" customHeight="1" x14ac:dyDescent="0.35">
      <c r="B18" s="18">
        <v>12</v>
      </c>
      <c r="C18" s="18" t="s">
        <v>37</v>
      </c>
      <c r="D18" s="18" t="s">
        <v>38</v>
      </c>
      <c r="E18" s="19">
        <v>47171</v>
      </c>
      <c r="F18" s="20">
        <v>7.6550999999999994E-2</v>
      </c>
      <c r="G18" s="20">
        <f>VLOOKUP(C18,[1]Valuation!$C$6:$F$35,4,FALSE)</f>
        <v>8.1593747433000005E-2</v>
      </c>
      <c r="H18" s="20">
        <f t="shared" si="0"/>
        <v>7.90723737165E-2</v>
      </c>
    </row>
    <row r="19" spans="2:8" x14ac:dyDescent="0.35">
      <c r="B19" s="18">
        <v>13</v>
      </c>
      <c r="C19" s="18" t="s">
        <v>40</v>
      </c>
      <c r="D19" s="18" t="s">
        <v>39</v>
      </c>
      <c r="E19" s="19">
        <v>49185</v>
      </c>
      <c r="F19" s="20">
        <v>7.4291999999999997E-2</v>
      </c>
      <c r="G19" s="20">
        <f>VLOOKUP(C19,[1]Valuation!$C$6:$F$35,4,FALSE)</f>
        <v>7.5558113247E-2</v>
      </c>
      <c r="H19" s="20">
        <f t="shared" si="0"/>
        <v>7.4925056623499992E-2</v>
      </c>
    </row>
    <row r="20" spans="2:8" x14ac:dyDescent="0.35">
      <c r="B20" s="18">
        <v>14</v>
      </c>
      <c r="C20" s="18" t="s">
        <v>41</v>
      </c>
      <c r="D20" s="18" t="s">
        <v>42</v>
      </c>
      <c r="E20" s="19">
        <v>49207</v>
      </c>
      <c r="F20" s="20">
        <v>7.4260999999999994E-2</v>
      </c>
      <c r="G20" s="20">
        <f>VLOOKUP(C20,[1]Valuation!$C$6:$F$35,4,FALSE)</f>
        <v>7.5490364512000002E-2</v>
      </c>
      <c r="H20" s="20">
        <f t="shared" si="0"/>
        <v>7.4875682255999998E-2</v>
      </c>
    </row>
    <row r="21" spans="2:8" x14ac:dyDescent="0.35">
      <c r="B21" s="18">
        <v>15</v>
      </c>
      <c r="C21" s="18" t="s">
        <v>44</v>
      </c>
      <c r="D21" s="18" t="s">
        <v>43</v>
      </c>
      <c r="E21" s="19">
        <v>49276</v>
      </c>
      <c r="F21" s="20">
        <v>7.5199000000000002E-2</v>
      </c>
      <c r="G21" s="20">
        <f>VLOOKUP(C21,[1]Valuation!$C$6:$F$35,4,FALSE)</f>
        <v>7.5975877331000002E-2</v>
      </c>
      <c r="H21" s="20">
        <f t="shared" si="0"/>
        <v>7.5587438665499995E-2</v>
      </c>
    </row>
    <row r="22" spans="2:8" x14ac:dyDescent="0.35">
      <c r="B22" s="18">
        <v>16</v>
      </c>
      <c r="C22" s="18" t="s">
        <v>45</v>
      </c>
      <c r="D22" s="18" t="s">
        <v>46</v>
      </c>
      <c r="E22" s="19">
        <v>49301</v>
      </c>
      <c r="F22" s="20">
        <v>7.4975E-2</v>
      </c>
      <c r="G22" s="20">
        <f>VLOOKUP(C22,[1]Valuation!$C$6:$F$35,4,FALSE)</f>
        <v>7.5971337678000003E-2</v>
      </c>
      <c r="H22" s="20">
        <f t="shared" si="0"/>
        <v>7.5473168839000002E-2</v>
      </c>
    </row>
    <row r="23" spans="2:8" x14ac:dyDescent="0.35">
      <c r="B23" s="18">
        <v>17</v>
      </c>
      <c r="C23" s="18" t="s">
        <v>48</v>
      </c>
      <c r="D23" s="18" t="s">
        <v>47</v>
      </c>
      <c r="E23" s="19">
        <v>49487</v>
      </c>
      <c r="F23" s="20">
        <v>7.5299000000000005E-2</v>
      </c>
      <c r="G23" s="20">
        <f>VLOOKUP(C23,[1]Valuation!$C$6:$F$35,4,FALSE)</f>
        <v>7.5810926003999995E-2</v>
      </c>
      <c r="H23" s="20">
        <f t="shared" si="0"/>
        <v>7.5554963002E-2</v>
      </c>
    </row>
    <row r="24" spans="2:8" x14ac:dyDescent="0.35">
      <c r="B24" s="18">
        <v>18</v>
      </c>
      <c r="C24" s="18" t="s">
        <v>51</v>
      </c>
      <c r="D24" s="18" t="s">
        <v>50</v>
      </c>
      <c r="E24" s="19">
        <v>47775</v>
      </c>
      <c r="F24" s="20">
        <v>6.8984000000000004E-2</v>
      </c>
      <c r="G24" s="20">
        <f>VLOOKUP(C24,[1]Valuation!$C$6:$F$35,4,FALSE)</f>
        <v>7.4861869070000003E-2</v>
      </c>
      <c r="H24" s="20">
        <f t="shared" si="0"/>
        <v>7.192293453500001E-2</v>
      </c>
    </row>
    <row r="25" spans="2:8" x14ac:dyDescent="0.35">
      <c r="B25" s="18">
        <v>19</v>
      </c>
      <c r="C25" s="18" t="s">
        <v>53</v>
      </c>
      <c r="D25" s="18" t="s">
        <v>52</v>
      </c>
      <c r="E25" s="19">
        <v>49641</v>
      </c>
      <c r="F25" s="20">
        <v>7.5580999999999995E-2</v>
      </c>
      <c r="G25" s="20">
        <f>VLOOKUP(C25,[1]Valuation!$C$6:$F$35,4,FALSE)</f>
        <v>7.6305576580000006E-2</v>
      </c>
      <c r="H25" s="20">
        <f t="shared" si="0"/>
        <v>7.5943288289999994E-2</v>
      </c>
    </row>
  </sheetData>
  <conditionalFormatting sqref="C1:C5">
    <cfRule type="duplicateValues" dxfId="5" priority="1383" stopIfTrue="1"/>
    <cfRule type="duplicateValues" dxfId="4" priority="1384"/>
  </conditionalFormatting>
  <conditionalFormatting sqref="C18:C25">
    <cfRule type="expression" dxfId="3" priority="5" stopIfTrue="1">
      <formula>AND(COUNTIF($C$1306:$C$1317, C18)+COUNTIF($C$1319:$C$1324, C18)+COUNTIF($C$1326:$C$1328, C18)&gt;1,NOT(ISBLANK(C18)))</formula>
    </cfRule>
    <cfRule type="expression" dxfId="2" priority="7" stopIfTrue="1">
      <formula>AND(COUNTIF($C$1301:$C$1384, C18)+COUNTIF($C$1239:$C$1244, C18)&gt;1,NOT(ISBLANK(C18)))</formula>
    </cfRule>
  </conditionalFormatting>
  <conditionalFormatting sqref="D18:D25">
    <cfRule type="expression" dxfId="1" priority="4" stopIfTrue="1">
      <formula>AND(COUNTIF($D$1482:$D$1548, D18)+COUNTIF($D$1553:$D$1607, D18)&gt;1,NOT(ISBLANK(D18)))</formula>
    </cfRule>
    <cfRule type="expression" dxfId="0" priority="6" stopIfTrue="1">
      <formula>AND(COUNTIF($D$1306:$D$1324, D18)+COUNTIF($D$1326:$D$1328, D18)&gt;1,NOT(ISBLANK(D18)))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D16" sqref="D16"/>
    </sheetView>
  </sheetViews>
  <sheetFormatPr defaultRowHeight="14.5" x14ac:dyDescent="0.35"/>
  <sheetData>
    <row r="1" spans="1:2" x14ac:dyDescent="0.35">
      <c r="A1" s="19" t="s">
        <v>17</v>
      </c>
      <c r="B1">
        <v>12</v>
      </c>
    </row>
    <row r="2" spans="1:2" x14ac:dyDescent="0.35">
      <c r="A2" s="19" t="s">
        <v>18</v>
      </c>
      <c r="B2">
        <v>2</v>
      </c>
    </row>
    <row r="3" spans="1:2" x14ac:dyDescent="0.35">
      <c r="A3" s="19" t="s">
        <v>19</v>
      </c>
      <c r="B3">
        <v>11</v>
      </c>
    </row>
    <row r="4" spans="1:2" x14ac:dyDescent="0.35">
      <c r="A4" s="19" t="s">
        <v>20</v>
      </c>
      <c r="B4">
        <v>10</v>
      </c>
    </row>
    <row r="5" spans="1:2" x14ac:dyDescent="0.35">
      <c r="A5" s="19" t="s">
        <v>21</v>
      </c>
      <c r="B5">
        <v>9</v>
      </c>
    </row>
    <row r="6" spans="1:2" x14ac:dyDescent="0.35">
      <c r="A6" s="19" t="s">
        <v>22</v>
      </c>
      <c r="B6">
        <v>1</v>
      </c>
    </row>
    <row r="7" spans="1:2" x14ac:dyDescent="0.35">
      <c r="A7" s="19" t="s">
        <v>23</v>
      </c>
      <c r="B7">
        <v>7</v>
      </c>
    </row>
    <row r="8" spans="1:2" x14ac:dyDescent="0.35">
      <c r="A8" s="19" t="s">
        <v>24</v>
      </c>
      <c r="B8">
        <v>3</v>
      </c>
    </row>
    <row r="9" spans="1:2" x14ac:dyDescent="0.35">
      <c r="A9" s="19" t="s">
        <v>25</v>
      </c>
      <c r="B9">
        <v>6</v>
      </c>
    </row>
    <row r="10" spans="1:2" x14ac:dyDescent="0.35">
      <c r="A10" s="19" t="s">
        <v>26</v>
      </c>
      <c r="B10">
        <v>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Bonds</vt:lpstr>
      <vt:lpstr>Sheet1</vt:lpstr>
    </vt:vector>
  </TitlesOfParts>
  <Company>crisil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Prakash</dc:creator>
  <cp:lastModifiedBy>Kavya Kulkarni</cp:lastModifiedBy>
  <dcterms:created xsi:type="dcterms:W3CDTF">2021-04-15T06:42:28Z</dcterms:created>
  <dcterms:modified xsi:type="dcterms:W3CDTF">2026-02-02T06:50:14Z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2021-11-15T16:01:33Z</vt:lpwstr>
  </property>
  <property fmtid="{D5CDD505-2E9C-101B-9397-08002B2CF9AE}" pid="4" name="MSIP_Label_f43dd0be-22e7-4731-ba12-4b11f4b54d4f_Method">
    <vt:lpwstr>Standard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2321f196-006e-4056-9e7e-c32bd2229bc4</vt:lpwstr>
  </property>
  <property fmtid="{D5CDD505-2E9C-101B-9397-08002B2CF9AE}" pid="8" name="MSIP_Label_f43dd0be-22e7-4731-ba12-4b11f4b54d4f_ContentBits">
    <vt:lpwstr>0</vt:lpwstr>
  </property>
</Properties>
</file>